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评分表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分&quot;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i val="1"/>
      <sz val="11"/>
      <scheme val="minor"/>
    </font>
    <font>
      <name val="宋体"/>
      <charset val="134"/>
      <sz val="11"/>
      <scheme val="minor"/>
    </font>
    <font>
      <name val="宋体"/>
      <charset val="134"/>
      <color rgb="FF0F1115"/>
      <sz val="11.5"/>
    </font>
    <font>
      <name val="Segoe UI"/>
      <charset val="134"/>
      <color rgb="FF0F1115"/>
      <sz val="11.2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0F1115"/>
      <sz val="11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3" borderId="5" applyAlignment="1">
      <alignment vertical="center"/>
    </xf>
    <xf numFmtId="0" fontId="17" fillId="4" borderId="6" applyAlignment="1">
      <alignment vertical="center"/>
    </xf>
    <xf numFmtId="0" fontId="18" fillId="4" borderId="5" applyAlignment="1">
      <alignment vertical="center"/>
    </xf>
    <xf numFmtId="0" fontId="19" fillId="5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4" topLeftCell="A5" activePane="bottomLeft" state="frozen"/>
      <selection activeCell="A1" sqref="A1"/>
      <selection pane="bottomLeft" activeCell="C5" sqref="C5"/>
    </sheetView>
  </sheetViews>
  <sheetFormatPr baseColWidth="8" defaultColWidth="9" defaultRowHeight="13.5"/>
  <cols>
    <col width="24" customWidth="1" style="6" min="1" max="1"/>
    <col width="8" customWidth="1" style="6" min="2" max="2"/>
    <col width="59.125" customWidth="1" style="6" min="3" max="3"/>
    <col width="53.75" customWidth="1" style="6" min="4" max="4"/>
    <col width="8" customWidth="1" style="6" min="5" max="5"/>
  </cols>
  <sheetData>
    <row r="1" ht="28" customHeight="1" s="6">
      <c r="A1" s="4" t="inlineStr">
        <is>
          <t>视频识别评分细则</t>
        </is>
      </c>
    </row>
    <row r="2" ht="22" customHeight="1" s="6">
      <c r="A2" s="5" t="inlineStr">
        <is>
          <t>术式名称</t>
        </is>
      </c>
      <c r="C2" s="5" t="inlineStr">
        <is>
          <t>版本 / 日期</t>
        </is>
      </c>
    </row>
    <row r="3" ht="27" customHeight="1" s="6">
      <c r="A3" s="5" t="inlineStr">
        <is>
          <t>类目打分总分</t>
        </is>
      </c>
      <c r="B3" s="17" t="n">
        <v>1.5</v>
      </c>
      <c r="C3" s="5" t="inlineStr">
        <is>
          <t>来源</t>
        </is>
      </c>
    </row>
    <row r="4" ht="24" customHeight="1" s="6">
      <c r="A4" s="8" t="inlineStr">
        <is>
          <t>一级维度</t>
        </is>
      </c>
      <c r="B4" s="8" t="inlineStr">
        <is>
          <t>编号</t>
        </is>
      </c>
      <c r="C4" s="8" t="inlineStr">
        <is>
          <t>细分评分点</t>
        </is>
      </c>
      <c r="D4" s="8" t="inlineStr">
        <is>
          <t>视频识别依据</t>
        </is>
      </c>
      <c r="E4" s="8" t="inlineStr">
        <is>
          <t>分值</t>
        </is>
      </c>
    </row>
    <row r="5" ht="54" customHeight="1" s="6">
      <c r="A5" s="9" t="inlineStr">
        <is>
          <t>一、器械选择及检查顺序（0.5分）</t>
        </is>
      </c>
      <c r="B5" s="10" t="inlineStr">
        <is>
          <t>①</t>
        </is>
      </c>
      <c r="C5" s="11" t="inlineStr">
        <is>
          <t>选用5号镰形探针。</t>
        </is>
      </c>
      <c r="D5" s="12" t="inlineStr">
        <is>
          <t>画面中探针为镰形（一端三弯、一端大弯），可辨认为5号镰形探针；若使用其他型号探针（如普通直探针、牙周探针）则不得分。</t>
        </is>
      </c>
      <c r="E5" s="10" t="n">
        <v>0.2</v>
      </c>
    </row>
    <row r="6" ht="59" customHeight="1" s="6">
      <c r="A6" s="18" t="n"/>
      <c r="B6" s="10" t="inlineStr">
        <is>
          <t>②</t>
        </is>
      </c>
      <c r="C6" s="11" t="inlineStr">
        <is>
          <t>口镜牵拉口角，按右上→左上→左下→右下象限顺序行全口牙检查。</t>
        </is>
      </c>
      <c r="D6" s="12" t="inlineStr">
        <is>
          <t>画面可见左手持口镜牵拉口角；探针依次在四个象限移动，顺序为右上→左上→左下→右下；覆盖全口牙列、动作连贯有序。顺序错误、遗漏象限或未完成全口检查按情形扣分。</t>
        </is>
      </c>
      <c r="E6" s="10" t="n">
        <v>0.2</v>
      </c>
    </row>
    <row r="7" ht="32" customHeight="1" s="6">
      <c r="A7" s="19" t="n"/>
      <c r="B7" s="10" t="inlineStr">
        <is>
          <t>③</t>
        </is>
      </c>
      <c r="C7" s="10" t="inlineStr">
        <is>
          <t>检查过程覆盖全口牙列，动作连贯有序</t>
        </is>
      </c>
      <c r="D7" s="12" t="inlineStr">
        <is>
          <t>视频中探针依次探查各牙位，无明显跳牙、漏区；整体节奏连贯、无长时间停顿或混乱移动，口述也可。</t>
        </is>
      </c>
      <c r="E7" s="10" t="n">
        <v>0.1</v>
      </c>
    </row>
    <row r="8" ht="32" customHeight="1" s="6">
      <c r="A8" s="9" t="inlineStr">
        <is>
          <t>二、握持方式与支点（0.5分）</t>
        </is>
      </c>
      <c r="B8" s="10" t="inlineStr">
        <is>
          <t>④</t>
        </is>
      </c>
      <c r="C8" s="10" t="inlineStr">
        <is>
          <t>左手持口镜、右手持探针，分工明确</t>
        </is>
      </c>
      <c r="D8" s="12" t="inlineStr">
        <is>
          <t>画面可辨左手持口镜用于牵拉/反射/照明辅助，右手持探针进行检查；左右手分工混乱或单手持两器械酌情扣分。</t>
        </is>
      </c>
      <c r="E8" s="10" t="n">
        <v>0.15</v>
      </c>
    </row>
    <row r="9" ht="32" customHeight="1" s="6">
      <c r="A9" s="18" t="n"/>
      <c r="B9" s="10" t="inlineStr">
        <is>
          <t>⑤</t>
        </is>
      </c>
      <c r="C9" s="10" t="inlineStr">
        <is>
          <t>以右手无名指为支点，支点稳定</t>
        </is>
      </c>
      <c r="D9" s="12" t="inlineStr">
        <is>
          <t>画面可见右手无名指放置于邻近牙或口内口外合适部位作为支点；支点随检查区域移动而稳妥放置，探针无明显滑脱、抖动</t>
        </is>
      </c>
      <c r="E9" s="10" t="n">
        <v>0.2</v>
      </c>
    </row>
    <row r="10" ht="32" customHeight="1" s="6">
      <c r="A10" s="19" t="n"/>
      <c r="B10" s="10" t="inlineStr">
        <is>
          <t>⑥</t>
        </is>
      </c>
      <c r="C10" s="10" t="inlineStr">
        <is>
          <t>握持姿势规范，探针控制稳定</t>
        </is>
      </c>
      <c r="D10" s="12" t="inlineStr">
        <is>
          <t>探针握持姿势规范（执笔式），操作中探针尖端走向可控；支点不稳、无支点或支点选择不当按情形扣分</t>
        </is>
      </c>
      <c r="E10" s="10" t="n">
        <v>0.15</v>
      </c>
    </row>
    <row r="11" ht="32" customHeight="1" s="6">
      <c r="A11" s="9" t="inlineStr">
        <is>
          <t>三、探针的使用（0.5分）</t>
        </is>
      </c>
      <c r="B11" s="10" t="inlineStr">
        <is>
          <t>⑦</t>
        </is>
      </c>
      <c r="C11" s="10" t="inlineStr">
        <is>
          <t>三弯端用于检查牙齿邻面</t>
        </is>
      </c>
      <c r="D11" s="12" t="inlineStr">
        <is>
          <t>画面可见探针三弯端伸入牙间隙、邻接面进行探查（邻面龋、充填体边缘等）</t>
        </is>
      </c>
      <c r="E11" s="10" t="n">
        <v>0.2</v>
      </c>
    </row>
    <row r="12" ht="32" customHeight="1" s="6">
      <c r="A12" s="18" t="n"/>
      <c r="B12" s="10" t="inlineStr">
        <is>
          <t>⑧</t>
        </is>
      </c>
      <c r="C12" s="10" t="inlineStr">
        <is>
          <t>大弯端用于检查牙齿其他面（颊面、舌面、咬合面等）</t>
        </is>
      </c>
      <c r="D12" s="12" t="inlineStr">
        <is>
          <t>画面可见探针大弯端用于颊面、舌面、咬合面等非邻面区域的检查</t>
        </is>
      </c>
      <c r="E12" s="14" t="n">
        <v>0.2</v>
      </c>
    </row>
    <row r="13" ht="32" customHeight="1" s="6">
      <c r="A13" s="19" t="n"/>
      <c r="B13" s="10" t="inlineStr">
        <is>
          <t>⑨</t>
        </is>
      </c>
      <c r="C13" s="10" t="inlineStr">
        <is>
          <t>两端区分使用，探查动作轻柔准确，不损伤牙龈</t>
        </is>
      </c>
      <c r="D13" s="12" t="inlineStr">
        <is>
          <t>视频中三弯端与大弯端使用部位区分清楚，无用错端或混用；探查动作轻柔、准确，未见戳伤牙龈、明显用力压迫等</t>
        </is>
      </c>
      <c r="E13" s="10" t="n">
        <v>0.1</v>
      </c>
    </row>
    <row r="14">
      <c r="A14" s="15" t="inlineStr">
        <is>
          <t>分值合计（应等于类目打分总分）</t>
        </is>
      </c>
      <c r="B14" s="20" t="n"/>
      <c r="C14" s="20" t="n"/>
      <c r="D14" s="21" t="n"/>
      <c r="E14" s="16">
        <f>SUM(E5:E13)</f>
        <v>1.5</v>
      </c>
    </row>
    <row r="15">
      <c r="A15" s="15" t="inlineStr">
        <is>
          <t>校验（分值合计 = 类目打分总分）</t>
        </is>
      </c>
      <c r="B15" s="20" t="n"/>
      <c r="C15" s="20" t="n"/>
      <c r="D15" s="21" t="n"/>
      <c r="E15" s="16" t="str">
        <f>IF(B3="","",IF(E14=B3,"通过","不通过"))</f>
        <v>通过</v>
      </c>
    </row>
  </sheetData>
  <mergeCells count="8">
    <mergeCell ref="A8:A10"/>
    <mergeCell ref="D2:E2"/>
    <mergeCell ref="A15:D15"/>
    <mergeCell ref="A11:A13"/>
    <mergeCell ref="A1:E1"/>
    <mergeCell ref="A5:A7"/>
    <mergeCell ref="D3:E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4" customWidth="1" style="6" min="1" max="1"/>
    <col width="110" customWidth="1" style="6" min="2" max="2"/>
  </cols>
  <sheetData>
    <row r="1" ht="18.75" customHeight="1" s="6">
      <c r="A1" s="1" t="inlineStr">
        <is>
          <t>填写说明</t>
        </is>
      </c>
    </row>
    <row r="2" ht="30" customHeight="1" s="6">
      <c r="A2" s="2" t="n">
        <v>1</v>
      </c>
      <c r="B2" s="3" t="inlineStr">
        <is>
          <t>一级维度：格式为「一、维度名称（N分）」，N 为该维度下所有细分评分点分值之和；单元格按组合并，维度名只写一次。</t>
        </is>
      </c>
    </row>
    <row r="3" ht="30" customHeight="1" s="6">
      <c r="A3" s="2" t="n">
        <v>2</v>
      </c>
      <c r="B3" s="3" t="inlineStr">
        <is>
          <t>编号：带圈数字 ①②③…… 全表连续编号，不按维度重新起号；增减行时同步更新编号。</t>
        </is>
      </c>
    </row>
    <row r="4" ht="30" customHeight="1" s="6">
      <c r="A4" s="2" t="n">
        <v>3</v>
      </c>
      <c r="B4" s="3" t="inlineStr">
        <is>
          <t>细分评分点：一行只写一个可独立判定的动作或事实，一句话，不写解释和理由。</t>
        </is>
      </c>
    </row>
    <row r="5" ht="30" customHeight="1" s="6">
      <c r="A5" s="2" t="n">
        <v>4</v>
      </c>
      <c r="B5" s="3" t="inlineStr">
        <is>
          <t>视频识别依据：只描述「画面里能看到什么」——视觉可判定、不依赖声音或病历等画面外信息；可定位到关键帧（必要时括注「关键帧可定位」）；否定项写成「非……」「全程未出现……」的可见形式。</t>
        </is>
      </c>
    </row>
    <row r="6" ht="30" customHeight="1" s="6">
      <c r="A6" s="2" t="n">
        <v>5</v>
      </c>
      <c r="B6" s="3" t="inlineStr">
        <is>
          <t>分值：填数字，不加「分」字。同一维度内分值之和 = 该维度标注分值；各维度分值之和 = 表头「类目打分总分」（B3 单元格）。</t>
        </is>
      </c>
    </row>
    <row r="7" ht="30" customHeight="1" s="6">
      <c r="A7" s="2" t="n">
        <v>6</v>
      </c>
      <c r="B7" s="3" t="inlineStr">
        <is>
          <t>校验：E18 公式自动比对分值合计与类目打分总分，显示「通过 / 不通过」，提交前必须为「通过」。</t>
        </is>
      </c>
    </row>
    <row r="8" ht="30" customHeight="1" s="6">
      <c r="A8" s="2" t="n">
        <v>7</v>
      </c>
      <c r="B8" s="3" t="inlineStr">
        <is>
          <t>来源：填写原始评分表出处（截图文件名、文档名等）。源材料有裁切或校验不通过时，须在说明中写明，不得静默补数。</t>
        </is>
      </c>
    </row>
    <row r="9" ht="30" customHeight="1" s="6">
      <c r="A9" s="2" t="n">
        <v>8</v>
      </c>
      <c r="B9" s="3" t="inlineStr">
        <is>
          <t>增减行：插入或删除行后，重新合并一级维度单元格，更新编号及 E17 合计公式范围。</t>
        </is>
      </c>
    </row>
    <row r="10" ht="30" customHeight="1" s="6">
      <c r="A10" s="2" t="n">
        <v>9</v>
      </c>
      <c r="B10" s="3" t="inlineStr">
        <is>
          <t>完成后将文件命名为「术式名称_视频识别评分细则.xlsx」放入 docs/ 目录；填写示例见 docs/一般检查-探诊_视频识别评分细则.md。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2026-10-21T02:57:00Z</dcterms:created>
  <dcterms:modified xmlns:dcterms="http://purl.org/dc/terms/" xmlns:xsi="http://www.w3.org/2001/XMLSchema-instance" xsi:type="dcterms:W3CDTF">2026-10-21T05:50:12Z</dcterms:modified>
  <cp:lastModifiedBy>Through  love。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ECD65AA5229C4426814B47F876C43FEC_13</vt:lpwstr>
  </property>
  <property name="KSOProductBuildVer" fmtid="{D5CDD505-2E9C-101B-9397-08002B2CF9AE}" pid="3">
    <vt:lpwstr xmlns:vt="http://schemas.openxmlformats.org/officeDocument/2006/docPropsVTypes">2052-12.1.0.28599</vt:lpwstr>
  </property>
  <property name="CalculationRule" fmtid="{D5CDD505-2E9C-101B-9397-08002B2CF9AE}" pid="4">
    <vt:i4 xmlns:vt="http://schemas.openxmlformats.org/officeDocument/2006/docPropsVTypes">0</vt:i4>
  </property>
</Properties>
</file>